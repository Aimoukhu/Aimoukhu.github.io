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202300"/>
  <mc:AlternateContent xmlns:mc="http://schemas.openxmlformats.org/markup-compatibility/2006">
    <mc:Choice Requires="x15">
      <x15ac:absPath xmlns:x15ac="http://schemas.microsoft.com/office/spreadsheetml/2010/11/ac" url="C:\Users\Andrew\Files\"/>
    </mc:Choice>
  </mc:AlternateContent>
  <xr:revisionPtr revIDLastSave="0" documentId="13_ncr:1_{4F539877-525B-48ED-AC2A-43DD7033F05F}" xr6:coauthVersionLast="47" xr6:coauthVersionMax="47" xr10:uidLastSave="{00000000-0000-0000-0000-000000000000}"/>
  <bookViews>
    <workbookView xWindow="-110" yWindow="-110" windowWidth="25820" windowHeight="16220" xr2:uid="{00000000-000D-0000-FFFF-FFFF00000000}"/>
  </bookViews>
  <sheets>
    <sheet name="Power Budget" sheetId="1" r:id="rId1"/>
  </sheets>
  <definedNames>
    <definedName name="_xlnm.Print_Area" localSheetId="0">'Power Budget'!$A:$H</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 r="G48" i="1" s="1"/>
  <c r="G49" i="1" s="1"/>
  <c r="G34" i="1"/>
  <c r="G36" i="1" s="1"/>
  <c r="G25" i="1"/>
  <c r="G20" i="1"/>
  <c r="G19" i="1"/>
  <c r="G18" i="1"/>
  <c r="G12" i="1"/>
  <c r="G11" i="1"/>
  <c r="G10" i="1"/>
  <c r="G9" i="1"/>
  <c r="G17" i="1"/>
  <c r="G21" i="1" l="1"/>
  <c r="G23" i="1" s="1"/>
  <c r="G26" i="1" s="1"/>
  <c r="G4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<sst xmlns="http://schemas.openxmlformats.org/spreadsheetml/2006/main" count="129" uniqueCount="69">
  <si>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</si>
  <si>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</si>
  <si>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</si>
  <si>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</si>
  <si>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</si>
  <si>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</si>
  <si>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</si>
  <si>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</si>
  <si>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</si>
  <si>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</si>
  <si>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</si>
  <si>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</si>
  <si>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</si>
  <si>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</si>
  <si>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</si>
  <si>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PSoC™ 4 BLE Module</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</si>
  <si>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</si>
  <si>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</si>
  <si>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</si>
  <si>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</si>
  <si>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</si>
  <si>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</si>
  <si>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</si>
  <si>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</si>
  <si>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</si>
  <si>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</si>
  <si>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</si>
  <si>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</si>
  <si>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</si>
  <si>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</si>
  <si>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</si>
  <si>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 xml:space="preserve"> +24V</t>
  </si>
  <si>
    <t>Power Rails Connected to External Power Source 1</t>
  </si>
  <si>
    <t>Total Remaining Current Available on External Power Source 1</t>
  </si>
  <si>
    <t>External Power Source 2</t>
  </si>
  <si>
    <t>Power Source 2 Selection</t>
  </si>
  <si>
    <t>Battery</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</si>
  <si>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</si>
  <si>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</si>
  <si>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</si>
  <si>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</si>
  <si>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</si>
  <si>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</si>
  <si>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</si>
  <si>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</si>
  <si>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</si>
  <si>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</si>
  <si>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Op Amp</t>
  </si>
  <si>
    <t>MCP6004-I/P</t>
  </si>
  <si>
    <t xml:space="preserve"> +1.6 - 6V</t>
  </si>
  <si>
    <t>Relay Switch</t>
  </si>
  <si>
    <t>CST10T2CR</t>
  </si>
  <si>
    <t xml:space="preserve"> +0.1 - 20V</t>
  </si>
  <si>
    <t>Dynamic Speaker Unit</t>
  </si>
  <si>
    <t xml:space="preserve">SP-4005Y </t>
  </si>
  <si>
    <t>+2.8 - 3.4V</t>
  </si>
  <si>
    <t>AP7375-50SA-7</t>
  </si>
  <si>
    <t xml:space="preserve"> +5V - 45V</t>
  </si>
  <si>
    <t xml:space="preserve"> +120V</t>
  </si>
  <si>
    <t>1.5V</t>
  </si>
  <si>
    <t xml:space="preserve"> 1.5V </t>
  </si>
  <si>
    <t>AA</t>
  </si>
  <si>
    <t>N/A</t>
  </si>
  <si>
    <t>Door Sensor</t>
  </si>
  <si>
    <t>Bryce, Matthew, Dylan</t>
  </si>
  <si>
    <t>0.01 Pre Release</t>
  </si>
  <si>
    <t xml:space="preserve"> m </t>
  </si>
  <si>
    <t>PIC18F57Q10</t>
  </si>
  <si>
    <t>+1.8 - 5.5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</si>
</sst>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sz val="12"/>
      <color rgb="FF000000"/>
      <name val="Calibri"/>
      <family val="2"/>
    </font>
    <font>
      <b/>
      <sz val="12"/>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7">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0" fillId="0" borderId="0" xfId="0" applyFont="1"/>
    <xf numFmtId="0" fontId="2" fillId="0" borderId="1" xfId="0" applyFont="1" applyBorder="1" applyAlignment="1">
      <alignment horizontal="right"/>
    </xf>
    <xf numFmtId="0" fontId="11" fillId="0" borderId="1" xfId="0" applyFont="1" applyBorder="1" applyAlignment="1">
      <alignment horizontal="right"/>
    </xf>
    <xf numFmtId="0" fontId="5" fillId="0" borderId="11" xfId="0" applyFont="1" applyBorder="1" applyAlignment="1">
      <alignment wrapText="1"/>
    </xf>
    <xf numFmtId="0" fontId="3" fillId="0" borderId="12" xfId="0" applyFont="1" applyBorder="1"/>
    <xf numFmtId="0" fontId="3" fillId="0" borderId="13" xfId="0" applyFont="1" applyBorder="1"/>
    <xf numFmtId="0" fontId="6" fillId="0" borderId="0" xfId="0" applyFont="1" applyAlignment="1">
      <alignment wrapText="1"/>
    </xf>
    <xf numFmtId="0" fontId="0" fillId="0" borderId="0" xfId="0"/>
    <xf numFmtId="0" fontId="9" fillId="4" borderId="0" xfId="0" applyFont="1" applyFill="1" applyAlignment="1">
      <alignment horizontal="left" wrapText="1"/>
    </xf>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3" fillId="0" borderId="15" xfId="0" applyFont="1" applyBorder="1"/>
    <xf numFmtId="0" fontId="5" fillId="2" borderId="0" xfId="0" applyFont="1" applyFill="1"/>
    <xf numFmtId="49" fontId="5" fillId="0" borderId="12" xfId="0" applyNumberFormat="1" applyFont="1" applyBorder="1" applyAlignment="1">
      <alignment horizontal="right"/>
    </xf>
    <xf numFmtId="0" fontId="7" fillId="0" borderId="0" xfId="0" applyFont="1" applyAlignment="1">
      <alignment horizontal="right"/>
    </xf>
    <xf numFmtId="0" fontId="5" fillId="0" borderId="0" xfId="0" applyFont="1" applyAlignment="1">
      <alignment horizontal="right"/>
    </xf>
    <xf numFmtId="0" fontId="1" fillId="0" borderId="0" xfId="0" applyFont="1" applyAlignment="1">
      <alignment horizontal="center"/>
    </xf>
    <xf numFmtId="49" fontId="2" fillId="0" borderId="0" xfId="0" applyNumberFormat="1" applyFont="1" applyAlignment="1">
      <alignment horizontal="center"/>
    </xf>
    <xf numFmtId="49" fontId="4" fillId="3" borderId="5" xfId="0" applyNumberFormat="1" applyFont="1" applyFill="1" applyBorder="1" applyAlignment="1">
      <alignment horizontal="center"/>
    </xf>
    <xf numFmtId="49" fontId="4" fillId="0" borderId="0" xfId="0" applyNumberFormat="1" applyFont="1" applyAlignment="1">
      <alignment horizontal="center"/>
    </xf>
    <xf numFmtId="49" fontId="0" fillId="0" borderId="0" xfId="0" applyNumberFormat="1" applyAlignment="1">
      <alignment horizontal="center"/>
    </xf>
    <xf numFmtId="49" fontId="8" fillId="0" borderId="0" xfId="0" applyNumberFormat="1" applyFont="1"/>
    <xf numFmtId="49" fontId="4" fillId="3" borderId="17" xfId="0" applyNumberFormat="1" applyFont="1" applyFill="1" applyBorder="1" applyAlignment="1">
      <alignment horizontal="center"/>
    </xf>
    <xf numFmtId="49" fontId="0" fillId="0" borderId="0" xfId="0" applyNumberFormat="1"/>
    <xf numFmtId="49" fontId="10" fillId="0" borderId="0" xfId="0" applyNumberFormat="1"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2"/>
  <sheetViews>
    <sheetView tabSelected="1" zoomScaleNormal="100" workbookViewId="0">
      <selection activeCell="D18" sqref="D18"/>
    </sheetView>
  </sheetViews>
  <sheetFormatPr defaultColWidth="13.4140625" defaultRowHeight="15.75" customHeight="1" x14ac:dyDescent="0.35"/>
  <cols>
    <col min="1" max="1" width="32.4140625" bestFit="1" customWidth="1"/>
    <col min="2" max="2" width="27.1640625" bestFit="1" customWidth="1"/>
    <col min="3" max="3" width="16.6640625" bestFit="1" customWidth="1"/>
    <col min="4" max="4" width="24.5" style="75" bestFit="1" customWidth="1"/>
    <col min="5" max="5" width="13.1640625" customWidth="1"/>
    <col min="6" max="6" width="35" bestFit="1" customWidth="1"/>
    <col min="7" max="7" width="20.83203125" bestFit="1" customWidth="1"/>
    <col min="8" max="8" width="4.83203125" bestFit="1" customWidth="1"/>
  </cols>
  <sheetData>
    <row r="1" spans="1:8" ht="30" customHeight="1" x14ac:dyDescent="0.7">
      <c r="A1" s="68" t="s">
        <v>0</v>
      </c>
      <c r="B1" s="55"/>
      <c r="C1" s="55"/>
      <c r="D1" s="55"/>
      <c r="E1" s="55"/>
      <c r="F1" s="55"/>
      <c r="G1" s="55"/>
      <c r="H1" s="55"/>
    </row>
    <row r="2" spans="1:8" ht="15" customHeight="1" x14ac:dyDescent="0.35">
      <c r="A2" s="1" t="s">
        <v>1</v>
      </c>
      <c r="B2" s="50">
        <v>209</v>
      </c>
      <c r="D2" s="69"/>
      <c r="E2" s="2"/>
    </row>
    <row r="3" spans="1:8" ht="15" customHeight="1" x14ac:dyDescent="0.35">
      <c r="A3" s="3" t="s">
        <v>2</v>
      </c>
      <c r="B3" s="49" t="s">
        <v>63</v>
      </c>
      <c r="C3" s="4"/>
      <c r="D3" s="69"/>
      <c r="E3" s="2"/>
      <c r="F3" s="4"/>
      <c r="G3" s="4"/>
      <c r="H3" s="4"/>
    </row>
    <row r="4" spans="1:8" ht="15" customHeight="1" x14ac:dyDescent="0.35">
      <c r="A4" s="3" t="s">
        <v>3</v>
      </c>
      <c r="B4" s="49" t="s">
        <v>64</v>
      </c>
      <c r="C4" s="4"/>
      <c r="D4" s="69"/>
      <c r="E4" s="2"/>
      <c r="F4" s="4"/>
      <c r="G4" s="4"/>
      <c r="H4" s="4"/>
    </row>
    <row r="5" spans="1:8" ht="15" customHeight="1" x14ac:dyDescent="0.35">
      <c r="A5" s="3" t="s">
        <v>4</v>
      </c>
      <c r="B5" s="49" t="s">
        <v>65</v>
      </c>
      <c r="C5" s="4"/>
      <c r="D5" s="69"/>
      <c r="E5" s="2"/>
      <c r="F5" s="4"/>
      <c r="G5" s="4"/>
      <c r="H5" s="4"/>
    </row>
    <row r="6" spans="1:8" ht="15" customHeight="1" x14ac:dyDescent="0.35">
      <c r="A6" s="5"/>
      <c r="B6" s="4"/>
      <c r="C6" s="4"/>
      <c r="D6" s="69"/>
      <c r="E6" s="2"/>
      <c r="F6" s="4"/>
      <c r="G6" s="4"/>
      <c r="H6" s="4"/>
    </row>
    <row r="7" spans="1:8" ht="15" customHeight="1" x14ac:dyDescent="0.35">
      <c r="A7" s="57" t="s">
        <v>5</v>
      </c>
      <c r="B7" s="58"/>
      <c r="C7" s="58"/>
      <c r="D7" s="58"/>
      <c r="E7" s="58"/>
      <c r="F7" s="58"/>
      <c r="G7" s="58"/>
      <c r="H7" s="59"/>
    </row>
    <row r="8" spans="1:8" ht="15" customHeight="1" x14ac:dyDescent="0.35">
      <c r="A8" s="6" t="s">
        <v>6</v>
      </c>
      <c r="B8" s="7" t="s">
        <v>7</v>
      </c>
      <c r="C8" s="7" t="s">
        <v>8</v>
      </c>
      <c r="D8" s="70" t="s">
        <v>9</v>
      </c>
      <c r="E8" s="8" t="s">
        <v>10</v>
      </c>
      <c r="F8" s="9" t="s">
        <v>11</v>
      </c>
      <c r="G8" s="10" t="s">
        <v>12</v>
      </c>
      <c r="H8" s="10" t="s">
        <v>13</v>
      </c>
    </row>
    <row r="9" spans="1:8" ht="15" customHeight="1" x14ac:dyDescent="0.35">
      <c r="A9" s="11"/>
      <c r="B9" s="16" t="s">
        <v>47</v>
      </c>
      <c r="C9" s="16" t="s">
        <v>48</v>
      </c>
      <c r="D9" s="17" t="s">
        <v>49</v>
      </c>
      <c r="E9" s="12">
        <v>1</v>
      </c>
      <c r="F9" s="16">
        <v>0.17</v>
      </c>
      <c r="G9" s="15">
        <f t="shared" ref="G9:G12" si="0">E9*F9</f>
        <v>0.17</v>
      </c>
      <c r="H9" s="15" t="s">
        <v>14</v>
      </c>
    </row>
    <row r="10" spans="1:8" ht="15" customHeight="1" x14ac:dyDescent="0.35">
      <c r="A10" s="11"/>
      <c r="B10" s="16" t="s">
        <v>50</v>
      </c>
      <c r="C10" s="16" t="s">
        <v>51</v>
      </c>
      <c r="D10" s="17" t="s">
        <v>52</v>
      </c>
      <c r="E10" s="12">
        <v>1</v>
      </c>
      <c r="F10" s="16">
        <v>20</v>
      </c>
      <c r="G10" s="15">
        <f t="shared" si="0"/>
        <v>20</v>
      </c>
      <c r="H10" s="15" t="s">
        <v>14</v>
      </c>
    </row>
    <row r="11" spans="1:8" ht="15" customHeight="1" x14ac:dyDescent="0.35">
      <c r="A11" s="11"/>
      <c r="B11" s="16" t="s">
        <v>53</v>
      </c>
      <c r="C11" s="16" t="s">
        <v>54</v>
      </c>
      <c r="D11" s="17" t="s">
        <v>55</v>
      </c>
      <c r="E11" s="12">
        <v>1</v>
      </c>
      <c r="F11" s="16">
        <v>42</v>
      </c>
      <c r="G11" s="15">
        <f t="shared" si="0"/>
        <v>42</v>
      </c>
      <c r="H11" s="15" t="s">
        <v>14</v>
      </c>
    </row>
    <row r="12" spans="1:8" ht="15" customHeight="1" x14ac:dyDescent="0.35">
      <c r="A12" s="11"/>
      <c r="B12" s="16" t="s">
        <v>16</v>
      </c>
      <c r="C12" s="16" t="s">
        <v>56</v>
      </c>
      <c r="D12" s="17" t="s">
        <v>57</v>
      </c>
      <c r="E12" s="12">
        <v>1</v>
      </c>
      <c r="F12" s="16">
        <v>1500</v>
      </c>
      <c r="G12" s="15">
        <f t="shared" si="0"/>
        <v>1500</v>
      </c>
      <c r="H12" s="15" t="s">
        <v>14</v>
      </c>
    </row>
    <row r="13" spans="1:8" ht="15" customHeight="1" x14ac:dyDescent="0.35">
      <c r="A13" s="11" t="s">
        <v>66</v>
      </c>
      <c r="B13" s="16"/>
      <c r="D13" s="17"/>
      <c r="E13" s="13"/>
      <c r="G13" s="14"/>
      <c r="H13" s="15"/>
    </row>
    <row r="14" spans="1:8" ht="15" customHeight="1" x14ac:dyDescent="0.35">
      <c r="A14" s="18"/>
      <c r="B14" s="5"/>
      <c r="C14" s="4"/>
      <c r="D14" s="71"/>
      <c r="E14" s="2"/>
      <c r="F14" s="4"/>
      <c r="G14" s="20"/>
      <c r="H14" s="20"/>
    </row>
    <row r="15" spans="1:8" ht="15" customHeight="1" x14ac:dyDescent="0.35">
      <c r="A15" s="57" t="s">
        <v>17</v>
      </c>
      <c r="B15" s="58"/>
      <c r="C15" s="58"/>
      <c r="D15" s="58"/>
      <c r="E15" s="58"/>
      <c r="F15" s="58"/>
      <c r="G15" s="58"/>
      <c r="H15" s="59"/>
    </row>
    <row r="16" spans="1:8" ht="15" customHeight="1" x14ac:dyDescent="0.35">
      <c r="A16" s="21" t="s">
        <v>20</v>
      </c>
      <c r="B16" s="7" t="s">
        <v>7</v>
      </c>
      <c r="C16" s="7" t="s">
        <v>8</v>
      </c>
      <c r="D16" s="70" t="s">
        <v>9</v>
      </c>
      <c r="E16" s="8" t="s">
        <v>10</v>
      </c>
      <c r="F16" s="9" t="s">
        <v>11</v>
      </c>
      <c r="G16" s="30" t="s">
        <v>12</v>
      </c>
      <c r="H16" s="30" t="s">
        <v>13</v>
      </c>
    </row>
    <row r="17" spans="1:8" ht="15" customHeight="1" x14ac:dyDescent="0.35">
      <c r="A17" s="11"/>
      <c r="B17" t="s">
        <v>15</v>
      </c>
      <c r="C17" t="s">
        <v>67</v>
      </c>
      <c r="D17" s="76" t="s">
        <v>68</v>
      </c>
      <c r="E17" s="13">
        <v>1</v>
      </c>
      <c r="F17">
        <v>200</v>
      </c>
      <c r="G17" s="14">
        <f t="shared" ref="G17:G20" si="1">E17*F17</f>
        <v>200</v>
      </c>
      <c r="H17" s="15" t="s">
        <v>14</v>
      </c>
    </row>
    <row r="18" spans="1:8" ht="15" customHeight="1" x14ac:dyDescent="0.35">
      <c r="A18" s="11"/>
      <c r="B18" s="16" t="s">
        <v>47</v>
      </c>
      <c r="C18" s="16" t="s">
        <v>48</v>
      </c>
      <c r="D18" s="17" t="s">
        <v>49</v>
      </c>
      <c r="E18" s="12">
        <v>1</v>
      </c>
      <c r="F18" s="16">
        <v>0.17</v>
      </c>
      <c r="G18" s="15">
        <f t="shared" si="1"/>
        <v>0.17</v>
      </c>
      <c r="H18" s="15" t="s">
        <v>14</v>
      </c>
    </row>
    <row r="19" spans="1:8" ht="15" customHeight="1" x14ac:dyDescent="0.35">
      <c r="A19" s="11"/>
      <c r="B19" s="16" t="s">
        <v>50</v>
      </c>
      <c r="C19" s="16" t="s">
        <v>51</v>
      </c>
      <c r="D19" s="17" t="s">
        <v>52</v>
      </c>
      <c r="E19" s="12">
        <v>1</v>
      </c>
      <c r="F19" s="16">
        <v>20</v>
      </c>
      <c r="G19" s="15">
        <f t="shared" si="1"/>
        <v>20</v>
      </c>
      <c r="H19" s="15" t="s">
        <v>14</v>
      </c>
    </row>
    <row r="20" spans="1:8" ht="15" customHeight="1" x14ac:dyDescent="0.35">
      <c r="A20" s="11"/>
      <c r="B20" s="16" t="s">
        <v>53</v>
      </c>
      <c r="C20" s="16" t="s">
        <v>54</v>
      </c>
      <c r="D20" s="17" t="s">
        <v>55</v>
      </c>
      <c r="E20" s="12">
        <v>1</v>
      </c>
      <c r="F20" s="16">
        <v>42</v>
      </c>
      <c r="G20" s="15">
        <f t="shared" si="1"/>
        <v>42</v>
      </c>
      <c r="H20" s="15" t="s">
        <v>14</v>
      </c>
    </row>
    <row r="21" spans="1:8" ht="15" customHeight="1" x14ac:dyDescent="0.35">
      <c r="A21" s="11"/>
      <c r="B21" s="66" t="s">
        <v>18</v>
      </c>
      <c r="C21" s="55"/>
      <c r="D21" s="55"/>
      <c r="E21" s="55"/>
      <c r="F21" s="55"/>
      <c r="G21" s="14">
        <f>SUM(G17:G20)</f>
        <v>262.16999999999996</v>
      </c>
      <c r="H21" s="15" t="s">
        <v>14</v>
      </c>
    </row>
    <row r="22" spans="1:8" ht="15" customHeight="1" x14ac:dyDescent="0.35">
      <c r="A22" s="11"/>
      <c r="B22" s="66" t="s">
        <v>19</v>
      </c>
      <c r="C22" s="55"/>
      <c r="D22" s="55"/>
      <c r="E22" s="55"/>
      <c r="F22" s="55"/>
      <c r="G22" s="23">
        <v>0.25</v>
      </c>
      <c r="H22" s="23"/>
    </row>
    <row r="23" spans="1:8" ht="15" customHeight="1" x14ac:dyDescent="0.35">
      <c r="A23" s="24"/>
      <c r="B23" s="67" t="s">
        <v>21</v>
      </c>
      <c r="C23" s="55"/>
      <c r="D23" s="55"/>
      <c r="E23" s="55"/>
      <c r="F23" s="55"/>
      <c r="G23" s="14">
        <f>G21*(1+G22)</f>
        <v>327.71249999999998</v>
      </c>
      <c r="H23" s="15" t="s">
        <v>14</v>
      </c>
    </row>
    <row r="24" spans="1:8" ht="15" customHeight="1" x14ac:dyDescent="0.35">
      <c r="A24" s="25"/>
      <c r="B24" s="26"/>
      <c r="C24" s="26"/>
      <c r="D24" s="17"/>
      <c r="E24" s="12"/>
      <c r="F24" s="27"/>
      <c r="G24" s="28"/>
      <c r="H24" s="14"/>
    </row>
    <row r="25" spans="1:8" ht="15" customHeight="1" x14ac:dyDescent="0.35">
      <c r="A25" s="25" t="s">
        <v>22</v>
      </c>
      <c r="B25" s="16" t="s">
        <v>16</v>
      </c>
      <c r="C25" s="16" t="s">
        <v>56</v>
      </c>
      <c r="D25" s="17" t="s">
        <v>57</v>
      </c>
      <c r="E25" s="12">
        <v>1</v>
      </c>
      <c r="F25" s="16">
        <v>1500</v>
      </c>
      <c r="G25" s="15">
        <f t="shared" ref="G25" si="2">E25*F25</f>
        <v>1500</v>
      </c>
      <c r="H25" s="15" t="s">
        <v>14</v>
      </c>
    </row>
    <row r="26" spans="1:8" ht="15" customHeight="1" x14ac:dyDescent="0.35">
      <c r="A26" s="29"/>
      <c r="B26" s="65" t="s">
        <v>23</v>
      </c>
      <c r="C26" s="52"/>
      <c r="D26" s="52"/>
      <c r="E26" s="52"/>
      <c r="F26" s="52"/>
      <c r="G26" s="28">
        <f>G25-G23</f>
        <v>1172.2874999999999</v>
      </c>
      <c r="H26" s="15" t="s">
        <v>14</v>
      </c>
    </row>
    <row r="27" spans="1:8" ht="15" customHeight="1" x14ac:dyDescent="0.35">
      <c r="A27" s="57" t="s">
        <v>24</v>
      </c>
      <c r="B27" s="58"/>
      <c r="C27" s="58"/>
      <c r="D27" s="58"/>
      <c r="E27" s="58"/>
      <c r="F27" s="58"/>
      <c r="G27" s="58"/>
      <c r="H27" s="59"/>
    </row>
    <row r="28" spans="1:8" ht="15" customHeight="1" x14ac:dyDescent="0.35">
      <c r="A28" s="51"/>
      <c r="B28" s="52"/>
      <c r="C28" s="52"/>
      <c r="D28" s="52"/>
      <c r="E28" s="52"/>
      <c r="F28" s="52"/>
      <c r="G28" s="52"/>
      <c r="H28" s="53"/>
    </row>
    <row r="29" spans="1:8" ht="15" customHeight="1" x14ac:dyDescent="0.35">
      <c r="A29" s="57" t="s">
        <v>25</v>
      </c>
      <c r="B29" s="58"/>
      <c r="C29" s="58"/>
      <c r="D29" s="58"/>
      <c r="E29" s="58"/>
      <c r="F29" s="58"/>
      <c r="G29" s="58"/>
      <c r="H29" s="59"/>
    </row>
    <row r="30" spans="1:8" ht="15" customHeight="1" x14ac:dyDescent="0.35">
      <c r="A30" s="21" t="s">
        <v>26</v>
      </c>
      <c r="B30" s="7" t="s">
        <v>7</v>
      </c>
      <c r="C30" s="7" t="s">
        <v>8</v>
      </c>
      <c r="D30" s="70" t="s">
        <v>9</v>
      </c>
      <c r="E30" s="31" t="s">
        <v>27</v>
      </c>
      <c r="F30" s="9" t="s">
        <v>11</v>
      </c>
      <c r="G30" s="30" t="s">
        <v>12</v>
      </c>
      <c r="H30" s="30" t="s">
        <v>13</v>
      </c>
    </row>
    <row r="31" spans="1:8" ht="15" customHeight="1" x14ac:dyDescent="0.35">
      <c r="A31" s="32" t="s">
        <v>28</v>
      </c>
      <c r="B31" s="26" t="s">
        <v>29</v>
      </c>
      <c r="C31" s="12" t="s">
        <v>62</v>
      </c>
      <c r="D31" s="17" t="s">
        <v>30</v>
      </c>
      <c r="E31" s="12" t="s">
        <v>31</v>
      </c>
      <c r="F31" s="27">
        <v>15000</v>
      </c>
      <c r="G31" s="33">
        <v>15000</v>
      </c>
      <c r="H31" s="34" t="s">
        <v>14</v>
      </c>
    </row>
    <row r="32" spans="1:8" ht="15" customHeight="1" x14ac:dyDescent="0.35">
      <c r="A32" s="35"/>
      <c r="B32" s="26"/>
      <c r="C32" s="26"/>
      <c r="D32" s="17"/>
      <c r="E32" s="12"/>
      <c r="F32" s="27"/>
      <c r="G32" s="28"/>
      <c r="H32" s="36"/>
    </row>
    <row r="33" spans="1:8" ht="15" customHeight="1" x14ac:dyDescent="0.35">
      <c r="A33" s="60" t="s">
        <v>32</v>
      </c>
      <c r="B33" s="26"/>
      <c r="C33" s="26"/>
      <c r="D33" s="17"/>
      <c r="E33" s="12"/>
      <c r="F33" s="27"/>
      <c r="G33" s="28"/>
      <c r="H33" s="15"/>
    </row>
    <row r="34" spans="1:8" ht="15" customHeight="1" x14ac:dyDescent="0.35">
      <c r="A34" s="61"/>
      <c r="B34" s="16" t="s">
        <v>16</v>
      </c>
      <c r="C34" s="16" t="s">
        <v>56</v>
      </c>
      <c r="D34" s="17" t="s">
        <v>57</v>
      </c>
      <c r="E34" s="12">
        <v>1</v>
      </c>
      <c r="F34" s="16">
        <v>1500</v>
      </c>
      <c r="G34" s="15">
        <f t="shared" ref="G34" si="3">E34*F34</f>
        <v>1500</v>
      </c>
      <c r="H34" s="15" t="s">
        <v>14</v>
      </c>
    </row>
    <row r="35" spans="1:8" ht="15" customHeight="1" x14ac:dyDescent="0.35">
      <c r="A35" s="61"/>
      <c r="B35" s="16"/>
      <c r="D35" s="17"/>
      <c r="E35" s="13"/>
      <c r="G35" s="14"/>
      <c r="H35" s="15"/>
    </row>
    <row r="36" spans="1:8" ht="15" customHeight="1" x14ac:dyDescent="0.35">
      <c r="A36" s="35"/>
      <c r="B36" s="62" t="s">
        <v>33</v>
      </c>
      <c r="C36" s="55"/>
      <c r="D36" s="55"/>
      <c r="E36" s="55"/>
      <c r="F36" s="55"/>
      <c r="G36" s="33">
        <f>G31-SUM(G33:G35)</f>
        <v>13500</v>
      </c>
      <c r="H36" s="34" t="s">
        <v>14</v>
      </c>
    </row>
    <row r="37" spans="1:8" ht="15" customHeight="1" x14ac:dyDescent="0.35">
      <c r="A37" s="35"/>
      <c r="B37" s="2"/>
      <c r="C37" s="2"/>
      <c r="D37" s="71"/>
      <c r="E37" s="19"/>
      <c r="F37" s="19"/>
      <c r="G37" s="37"/>
      <c r="H37" s="38"/>
    </row>
    <row r="38" spans="1:8" ht="15" customHeight="1" x14ac:dyDescent="0.35">
      <c r="A38" s="21" t="s">
        <v>34</v>
      </c>
      <c r="B38" s="7" t="s">
        <v>7</v>
      </c>
      <c r="C38" s="7" t="s">
        <v>8</v>
      </c>
      <c r="D38" s="70" t="s">
        <v>9</v>
      </c>
      <c r="E38" s="31" t="s">
        <v>27</v>
      </c>
      <c r="F38" s="9" t="s">
        <v>11</v>
      </c>
      <c r="G38" s="30" t="s">
        <v>12</v>
      </c>
      <c r="H38" s="30" t="s">
        <v>13</v>
      </c>
    </row>
    <row r="39" spans="1:8" ht="15" customHeight="1" x14ac:dyDescent="0.35">
      <c r="A39" s="32" t="s">
        <v>35</v>
      </c>
      <c r="B39" s="26" t="s">
        <v>36</v>
      </c>
      <c r="C39" s="12" t="s">
        <v>61</v>
      </c>
      <c r="D39" s="17" t="s">
        <v>58</v>
      </c>
      <c r="E39" s="12" t="s">
        <v>59</v>
      </c>
      <c r="F39" s="27">
        <v>25000</v>
      </c>
      <c r="G39" s="33">
        <v>25000</v>
      </c>
      <c r="H39" s="34" t="s">
        <v>14</v>
      </c>
    </row>
    <row r="40" spans="1:8" ht="15" customHeight="1" x14ac:dyDescent="0.35">
      <c r="A40" s="35"/>
      <c r="B40" s="26"/>
      <c r="C40" s="26"/>
      <c r="D40" s="17"/>
      <c r="E40" s="12"/>
      <c r="F40" s="27"/>
      <c r="G40" s="28"/>
      <c r="H40" s="36"/>
    </row>
    <row r="41" spans="1:8" ht="15" customHeight="1" x14ac:dyDescent="0.35">
      <c r="A41" s="60" t="s">
        <v>37</v>
      </c>
      <c r="B41" s="16" t="s">
        <v>16</v>
      </c>
      <c r="C41" s="16" t="s">
        <v>56</v>
      </c>
      <c r="D41" s="17" t="s">
        <v>57</v>
      </c>
      <c r="E41" s="12">
        <v>1</v>
      </c>
      <c r="F41" s="16">
        <v>1500</v>
      </c>
      <c r="G41" s="15">
        <f t="shared" ref="G41" si="4">E41*F41</f>
        <v>1500</v>
      </c>
      <c r="H41" s="15" t="s">
        <v>14</v>
      </c>
    </row>
    <row r="42" spans="1:8" ht="15" customHeight="1" x14ac:dyDescent="0.35">
      <c r="A42" s="61"/>
      <c r="B42" s="26"/>
      <c r="C42" s="26"/>
      <c r="D42" s="17"/>
      <c r="E42" s="12"/>
      <c r="F42" s="27"/>
      <c r="G42" s="28"/>
      <c r="H42" s="15"/>
    </row>
    <row r="43" spans="1:8" ht="15" customHeight="1" x14ac:dyDescent="0.35">
      <c r="A43" s="61"/>
      <c r="B43" s="16"/>
      <c r="D43" s="17"/>
      <c r="E43" s="13"/>
      <c r="G43" s="14"/>
      <c r="H43" s="15"/>
    </row>
    <row r="44" spans="1:8" ht="15" customHeight="1" x14ac:dyDescent="0.35">
      <c r="A44" s="35"/>
      <c r="B44" s="62" t="s">
        <v>38</v>
      </c>
      <c r="C44" s="55"/>
      <c r="D44" s="55"/>
      <c r="E44" s="55"/>
      <c r="F44" s="55"/>
      <c r="G44" s="33">
        <f>G39-SUM(G41:G43)</f>
        <v>23500</v>
      </c>
      <c r="H44" s="34" t="s">
        <v>14</v>
      </c>
    </row>
    <row r="45" spans="1:8" ht="15" customHeight="1" x14ac:dyDescent="0.35">
      <c r="A45" s="24"/>
      <c r="B45" s="16"/>
      <c r="D45" s="73"/>
      <c r="E45" s="12"/>
      <c r="F45" s="16"/>
      <c r="G45" s="14"/>
      <c r="H45" s="39"/>
    </row>
    <row r="46" spans="1:8" ht="15" customHeight="1" x14ac:dyDescent="0.35">
      <c r="A46" s="57" t="s">
        <v>39</v>
      </c>
      <c r="B46" s="58"/>
      <c r="C46" s="58"/>
      <c r="D46" s="58"/>
      <c r="E46" s="58"/>
      <c r="F46" s="63"/>
      <c r="G46" s="40"/>
      <c r="H46" s="40"/>
    </row>
    <row r="47" spans="1:8" ht="15" customHeight="1" x14ac:dyDescent="0.35">
      <c r="A47" s="41"/>
      <c r="B47" s="42" t="s">
        <v>7</v>
      </c>
      <c r="C47" s="42" t="s">
        <v>8</v>
      </c>
      <c r="D47" s="74" t="s">
        <v>9</v>
      </c>
      <c r="E47" s="43"/>
      <c r="F47" s="44" t="s">
        <v>40</v>
      </c>
      <c r="G47" s="45" t="s">
        <v>41</v>
      </c>
      <c r="H47" s="46"/>
    </row>
    <row r="48" spans="1:8" ht="15" customHeight="1" x14ac:dyDescent="0.35">
      <c r="A48" s="11"/>
      <c r="B48" t="s">
        <v>36</v>
      </c>
      <c r="C48" s="48" t="s">
        <v>61</v>
      </c>
      <c r="D48" s="17" t="s">
        <v>60</v>
      </c>
      <c r="E48" s="13"/>
      <c r="F48" s="16">
        <v>500</v>
      </c>
      <c r="G48" s="14">
        <f>SUM(G41:G43)</f>
        <v>1500</v>
      </c>
      <c r="H48" s="14"/>
    </row>
    <row r="49" spans="1:8" ht="15" customHeight="1" x14ac:dyDescent="0.35">
      <c r="A49" s="11"/>
      <c r="D49" s="72"/>
      <c r="E49" s="13"/>
      <c r="F49" s="22" t="s">
        <v>42</v>
      </c>
      <c r="G49" s="14">
        <f>F48/G48</f>
        <v>0.33333333333333331</v>
      </c>
      <c r="H49" s="15" t="s">
        <v>43</v>
      </c>
    </row>
    <row r="50" spans="1:8" ht="15" customHeight="1" x14ac:dyDescent="0.35">
      <c r="A50" s="64" t="s">
        <v>44</v>
      </c>
      <c r="B50" s="55"/>
      <c r="C50" s="55"/>
      <c r="D50" s="55"/>
      <c r="E50" s="55"/>
      <c r="F50" s="55"/>
      <c r="G50" s="47"/>
      <c r="H50" s="47"/>
    </row>
    <row r="51" spans="1:8" ht="15" customHeight="1" x14ac:dyDescent="0.35">
      <c r="A51" s="54" t="s">
        <v>45</v>
      </c>
      <c r="B51" s="55"/>
      <c r="C51" s="55"/>
      <c r="D51" s="55"/>
      <c r="E51" s="55"/>
      <c r="F51" s="55"/>
      <c r="G51" s="55"/>
      <c r="H51" s="55"/>
    </row>
    <row r="52" spans="1:8" ht="15" customHeight="1" x14ac:dyDescent="0.35">
      <c r="A52" s="56" t="s">
        <v>46</v>
      </c>
      <c r="B52" s="55"/>
      <c r="C52" s="55"/>
      <c r="D52" s="55"/>
      <c r="E52" s="55"/>
      <c r="F52" s="55"/>
      <c r="G52" s="55"/>
      <c r="H52" s="55"/>
    </row>
  </sheetData>
  <mergeCells count="18">
    <mergeCell ref="A1:H1"/>
    <mergeCell ref="A7:H7"/>
    <mergeCell ref="A15:H15"/>
    <mergeCell ref="A27:H27"/>
    <mergeCell ref="B26:F26"/>
    <mergeCell ref="B21:F21"/>
    <mergeCell ref="B22:F22"/>
    <mergeCell ref="B23:F23"/>
    <mergeCell ref="A28:H28"/>
    <mergeCell ref="A51:H51"/>
    <mergeCell ref="A52:H52"/>
    <mergeCell ref="A29:H29"/>
    <mergeCell ref="A33:A35"/>
    <mergeCell ref="B36:F36"/>
    <mergeCell ref="A41:A43"/>
    <mergeCell ref="B44:F44"/>
    <mergeCell ref="A46:F46"/>
    <mergeCell ref="A50:F50"/>
  </mergeCells>
  <conditionalFormatting sqref="G26">
    <cfRule type="cellIs" dxfId="0" priority="1" operator="lessThan">
      <formula>0</formula>
    </cfRule>
  </conditionalFormatting>
  <printOptions headings="1" gridLines="1"/>
  <pageMargins left="0.25" right="0.25" top="0.75" bottom="0.75" header="0.3" footer="0.3"/>
  <pageSetup paperSize="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Power Budget</vt:lpstr>
      <vt:lpstr>'Power Budget'!Print_Area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dc:creator>
  <cp:lastModifiedBy>Imoukhuede Andrew</cp:lastModifiedBy>
  <cp:lastPrinted>2025-11-01T02:52:41Z</cp:lastPrinted>
  <dcterms:modified xsi:type="dcterms:W3CDTF">2025-11-01T02:56:49Z</dcterms:modified>
</cp:coreProperties>
</file>